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 Month End Balances" sheetId="1" state="visible" r:id="rId1"/>
    <sheet name="MTD Received" sheetId="2" state="visible" r:id="rId2"/>
    <sheet name="MTD Expended" sheetId="3" state="visible" r:id="rId3"/>
    <sheet name="Month End Bal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"/>
  <chart>
    <title>
      <tx>
        <rich>
          <a:bodyPr/>
          <a:p>
            <a:pPr>
              <a:defRPr/>
            </a:pPr>
            <a:r>
              <a:t>006-0000 Month End Balances</a:t>
            </a:r>
          </a:p>
        </rich>
      </tx>
    </title>
    <plotArea>
      <lineChart>
        <grouping val="standard"/>
        <ser>
          <idx val="0"/>
          <order val="0"/>
          <tx>
            <strRef>
              <f>' Month End Balances'!B1</f>
            </strRef>
          </tx>
          <spPr>
            <a:ln>
              <a:solidFill>
                <a:prstClr val="indianRed"/>
              </a:solidFill>
              <a:prstDash val="solid"/>
            </a:ln>
          </spPr>
          <marker>
            <symbol val="circle"/>
            <spPr>
              <a:solidFill>
                <a:prstClr val="indianRed"/>
              </a:solidFill>
              <a:ln>
                <a:prstDash val="solid"/>
              </a:ln>
            </spPr>
          </marker>
          <cat>
            <numRef>
              <f>' Month End Balances'!$A$2:$A$49</f>
            </numRef>
          </cat>
          <val>
            <numRef>
              <f>' Month End Balances'!$B$2:$B$49</f>
            </numRef>
          </val>
        </ser>
        <ser>
          <idx val="1"/>
          <order val="1"/>
          <tx>
            <strRef>
              <f>' Month End Balances'!C1</f>
            </strRef>
          </tx>
          <spPr>
            <a:ln>
              <a:solidFill>
                <a:prstClr val="seaGreen"/>
              </a:solidFill>
              <a:prstDash val="solid"/>
            </a:ln>
          </spPr>
          <marker>
            <symbol val="square"/>
            <spPr>
              <a:solidFill>
                <a:prstClr val="seaGreen"/>
              </a:solidFill>
              <a:ln>
                <a:prstDash val="solid"/>
              </a:ln>
            </spPr>
          </marker>
          <cat>
            <numRef>
              <f>' Month End Balances'!$A$2:$A$49</f>
            </numRef>
          </cat>
          <val>
            <numRef>
              <f>' Month End Balances'!$C$2:$C$49</f>
            </numRef>
          </val>
        </ser>
        <ser>
          <idx val="2"/>
          <order val="2"/>
          <tx>
            <strRef>
              <f>' Month End Balances'!D1</f>
            </strRef>
          </tx>
          <spPr>
            <a:ln>
              <a:solidFill>
                <a:prstClr val="medBlue"/>
              </a:solidFill>
              <a:prstDash val="solid"/>
            </a:ln>
          </spPr>
          <marker>
            <symbol val="x"/>
            <spPr>
              <a:solidFill>
                <a:prstClr val="medBlue"/>
              </a:solidFill>
              <a:ln>
                <a:prstDash val="solid"/>
              </a:ln>
            </spPr>
          </marker>
          <cat>
            <numRef>
              <f>' Month End Balances'!$A$2:$A$49</f>
            </numRef>
          </cat>
          <val>
            <numRef>
              <f>' Month End Balances'!$D$2:$D$49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out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Amounts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  <overlay val="1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006-0000 MTD Received</a:t>
            </a:r>
          </a:p>
        </rich>
      </tx>
    </title>
    <plotArea>
      <layout>
        <manualLayout>
          <wMode val="factor"/>
          <hMode val="factor"/>
          <x val="0"/>
          <y val="0"/>
          <w val="0.9"/>
          <h val="0.9"/>
        </manualLayout>
      </layout>
      <barChart>
        <barDir val="col"/>
        <grouping val="clustered"/>
        <ser>
          <idx val="0"/>
          <order val="0"/>
          <tx>
            <strRef>
              <f>'MTD Received'!A3</f>
            </strRef>
          </tx>
          <spPr>
            <a:ln>
              <a:prstDash val="solid"/>
            </a:ln>
          </spPr>
          <cat>
            <numRef>
              <f>'MTD Received'!$B$1:$M$1</f>
            </numRef>
          </cat>
          <val>
            <numRef>
              <f>'MTD Received'!$B$3:$M$3</f>
            </numRef>
          </val>
        </ser>
        <ser>
          <idx val="1"/>
          <order val="1"/>
          <tx>
            <strRef>
              <f>'MTD Received'!A4</f>
            </strRef>
          </tx>
          <spPr>
            <a:ln>
              <a:prstDash val="solid"/>
            </a:ln>
          </spPr>
          <cat>
            <numRef>
              <f>'MTD Received'!$B$1:$M$1</f>
            </numRef>
          </cat>
          <val>
            <numRef>
              <f>'MTD Received'!$B$4:$M$4</f>
            </numRef>
          </val>
        </ser>
        <ser>
          <idx val="2"/>
          <order val="2"/>
          <tx>
            <strRef>
              <f>'MTD Received'!A5</f>
            </strRef>
          </tx>
          <spPr>
            <a:ln>
              <a:prstDash val="solid"/>
            </a:ln>
          </spPr>
          <cat>
            <numRef>
              <f>'MTD Received'!$B$1:$M$1</f>
            </numRef>
          </cat>
          <val>
            <numRef>
              <f>'MTD Received'!$B$5:$M$5</f>
            </numRef>
          </val>
        </ser>
        <ser>
          <idx val="3"/>
          <order val="3"/>
          <tx>
            <strRef>
              <f>'MTD Received'!A6</f>
            </strRef>
          </tx>
          <spPr>
            <a:ln>
              <a:prstDash val="solid"/>
            </a:ln>
          </spPr>
          <cat>
            <numRef>
              <f>'MTD Received'!$B$1:$M$1</f>
            </numRef>
          </cat>
          <val>
            <numRef>
              <f>'MTD Received'!$B$6:$M$6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out"/>
        <minorTickMark val="out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006-0000 MTD Expended</a:t>
            </a:r>
          </a:p>
        </rich>
      </tx>
    </title>
    <plotArea>
      <layout>
        <manualLayout>
          <wMode val="factor"/>
          <hMode val="factor"/>
          <x val="0"/>
          <y val="0"/>
          <w val="0.9"/>
          <h val="0.9"/>
        </manualLayout>
      </layout>
      <barChart>
        <barDir val="col"/>
        <grouping val="clustered"/>
        <ser>
          <idx val="0"/>
          <order val="0"/>
          <tx>
            <strRef>
              <f>'MTD Expended'!A3</f>
            </strRef>
          </tx>
          <spPr>
            <a:ln>
              <a:prstDash val="solid"/>
            </a:ln>
          </spPr>
          <cat>
            <numRef>
              <f>'MTD Expended'!$B$1:$M$1</f>
            </numRef>
          </cat>
          <val>
            <numRef>
              <f>'MTD Expended'!$B$3:$M$3</f>
            </numRef>
          </val>
        </ser>
        <ser>
          <idx val="1"/>
          <order val="1"/>
          <tx>
            <strRef>
              <f>'MTD Expended'!A4</f>
            </strRef>
          </tx>
          <spPr>
            <a:ln>
              <a:prstDash val="solid"/>
            </a:ln>
          </spPr>
          <cat>
            <numRef>
              <f>'MTD Expended'!$B$1:$M$1</f>
            </numRef>
          </cat>
          <val>
            <numRef>
              <f>'MTD Expended'!$B$4:$M$4</f>
            </numRef>
          </val>
        </ser>
        <ser>
          <idx val="2"/>
          <order val="2"/>
          <tx>
            <strRef>
              <f>'MTD Expended'!A5</f>
            </strRef>
          </tx>
          <spPr>
            <a:ln>
              <a:prstDash val="solid"/>
            </a:ln>
          </spPr>
          <cat>
            <numRef>
              <f>'MTD Expended'!$B$1:$M$1</f>
            </numRef>
          </cat>
          <val>
            <numRef>
              <f>'MTD Expended'!$B$5:$M$5</f>
            </numRef>
          </val>
        </ser>
        <ser>
          <idx val="3"/>
          <order val="3"/>
          <tx>
            <strRef>
              <f>'MTD Expended'!A6</f>
            </strRef>
          </tx>
          <spPr>
            <a:ln>
              <a:prstDash val="solid"/>
            </a:ln>
          </spPr>
          <cat>
            <numRef>
              <f>'MTD Expended'!$B$1:$M$1</f>
            </numRef>
          </cat>
          <val>
            <numRef>
              <f>'MTD Expended'!$B$6:$M$6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out"/>
        <minorTickMark val="out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006-0000 Month End Balance</a:t>
            </a:r>
          </a:p>
        </rich>
      </tx>
    </title>
    <plotArea>
      <layout>
        <manualLayout>
          <wMode val="factor"/>
          <hMode val="factor"/>
          <x val="0"/>
          <y val="0"/>
          <w val="0.9"/>
          <h val="0.9"/>
        </manualLayout>
      </layout>
      <barChart>
        <barDir val="col"/>
        <grouping val="clustered"/>
        <ser>
          <idx val="0"/>
          <order val="0"/>
          <tx>
            <strRef>
              <f>'Month End Balance'!A3</f>
            </strRef>
          </tx>
          <spPr>
            <a:ln>
              <a:prstDash val="solid"/>
            </a:ln>
          </spPr>
          <cat>
            <numRef>
              <f>'Month End Balance'!$B$1:$M$1</f>
            </numRef>
          </cat>
          <val>
            <numRef>
              <f>'Month End Balance'!$B$3:$M$3</f>
            </numRef>
          </val>
        </ser>
        <ser>
          <idx val="1"/>
          <order val="1"/>
          <tx>
            <strRef>
              <f>'Month End Balance'!A4</f>
            </strRef>
          </tx>
          <spPr>
            <a:ln>
              <a:prstDash val="solid"/>
            </a:ln>
          </spPr>
          <cat>
            <numRef>
              <f>'Month End Balance'!$B$1:$M$1</f>
            </numRef>
          </cat>
          <val>
            <numRef>
              <f>'Month End Balance'!$B$4:$M$4</f>
            </numRef>
          </val>
        </ser>
        <ser>
          <idx val="2"/>
          <order val="2"/>
          <tx>
            <strRef>
              <f>'Month End Balance'!A5</f>
            </strRef>
          </tx>
          <spPr>
            <a:ln>
              <a:prstDash val="solid"/>
            </a:ln>
          </spPr>
          <cat>
            <numRef>
              <f>'Month End Balance'!$B$1:$M$1</f>
            </numRef>
          </cat>
          <val>
            <numRef>
              <f>'Month End Balance'!$B$5:$M$5</f>
            </numRef>
          </val>
        </ser>
        <ser>
          <idx val="3"/>
          <order val="3"/>
          <tx>
            <strRef>
              <f>'Month End Balance'!A6</f>
            </strRef>
          </tx>
          <spPr>
            <a:ln>
              <a:prstDash val="solid"/>
            </a:ln>
          </spPr>
          <cat>
            <numRef>
              <f>'Month End Balance'!$B$1:$M$1</f>
            </numRef>
          </cat>
          <val>
            <numRef>
              <f>'Month End Balance'!$B$6:$M$6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out"/>
        <minorTickMark val="out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122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122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122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19.2" customWidth="1" min="1" max="1"/>
    <col width="21.6" customWidth="1" min="2" max="2"/>
    <col width="16.8" customWidth="1" min="3" max="3"/>
    <col width="25.2" customWidth="1" min="4" max="4"/>
  </cols>
  <sheetData>
    <row r="1">
      <c r="A1" t="inlineStr">
        <is>
          <t>Months</t>
        </is>
      </c>
      <c r="B1" t="inlineStr">
        <is>
          <t>MTD Expenditures</t>
        </is>
      </c>
      <c r="C1" t="inlineStr">
        <is>
          <t>MTD Received</t>
        </is>
      </c>
      <c r="D1" t="inlineStr">
        <is>
          <t>MTD Ending Balances</t>
        </is>
      </c>
    </row>
    <row r="2">
      <c r="A2" t="inlineStr">
        <is>
          <t>July 2022</t>
        </is>
      </c>
      <c r="B2" s="1" t="n">
        <v>10198.92</v>
      </c>
      <c r="C2" s="1" t="n">
        <v>16004.93</v>
      </c>
      <c r="D2" s="1" t="n">
        <v>14530.79</v>
      </c>
    </row>
    <row r="3">
      <c r="A3" t="inlineStr">
        <is>
          <t>August 2022</t>
        </is>
      </c>
      <c r="B3" s="1" t="n">
        <v>13876.05</v>
      </c>
      <c r="C3" s="1" t="n">
        <v>2465.86</v>
      </c>
      <c r="D3" s="1" t="n">
        <v>3120.6</v>
      </c>
    </row>
    <row r="4">
      <c r="A4" t="inlineStr">
        <is>
          <t>September 2022</t>
        </is>
      </c>
      <c r="B4" s="1" t="n">
        <v>21455.39</v>
      </c>
      <c r="C4" s="1" t="n">
        <v>19292.98</v>
      </c>
      <c r="D4" s="1" t="n">
        <v>958.1900000000001</v>
      </c>
    </row>
    <row r="5">
      <c r="A5" t="inlineStr">
        <is>
          <t>October 2022</t>
        </is>
      </c>
      <c r="B5" s="1" t="n">
        <v>35099.73</v>
      </c>
      <c r="C5" s="1" t="n">
        <v>48422.67</v>
      </c>
      <c r="D5" s="1" t="n">
        <v>14281.13</v>
      </c>
    </row>
    <row r="6">
      <c r="A6" t="inlineStr">
        <is>
          <t>November 2022</t>
        </is>
      </c>
      <c r="B6" s="1" t="n">
        <v>24879.62</v>
      </c>
      <c r="C6" s="1" t="n">
        <v>30579.76</v>
      </c>
      <c r="D6" s="1" t="n">
        <v>19981.27</v>
      </c>
    </row>
    <row r="7">
      <c r="A7" t="inlineStr">
        <is>
          <t>December 2022</t>
        </is>
      </c>
      <c r="B7" s="1" t="n">
        <v>22907.86</v>
      </c>
      <c r="C7" s="1" t="n">
        <v>26172.07</v>
      </c>
      <c r="D7" s="1" t="n">
        <v>23245.48</v>
      </c>
    </row>
    <row r="8">
      <c r="A8" t="inlineStr">
        <is>
          <t>January 2022</t>
        </is>
      </c>
      <c r="B8" s="1" t="n">
        <v>26926.97</v>
      </c>
      <c r="C8" s="1" t="n">
        <v>26118.26</v>
      </c>
      <c r="D8" s="1" t="n">
        <v>22436.77</v>
      </c>
    </row>
    <row r="9">
      <c r="A9" t="inlineStr">
        <is>
          <t>February 2022</t>
        </is>
      </c>
      <c r="B9" s="1" t="n">
        <v>24797.43</v>
      </c>
      <c r="C9" s="1" t="n">
        <v>35795.45</v>
      </c>
      <c r="D9" s="1" t="n">
        <v>33434.79</v>
      </c>
    </row>
    <row r="10">
      <c r="A10" t="inlineStr">
        <is>
          <t>March 2022</t>
        </is>
      </c>
      <c r="B10" s="1" t="n">
        <v>25277.95</v>
      </c>
      <c r="C10" s="1" t="n">
        <v>29046.94</v>
      </c>
      <c r="D10" s="1" t="n">
        <v>37203.78</v>
      </c>
    </row>
    <row r="11">
      <c r="A11" t="inlineStr">
        <is>
          <t>April 2022</t>
        </is>
      </c>
      <c r="B11" s="1" t="n">
        <v>25914.32</v>
      </c>
      <c r="C11" s="1" t="n">
        <v>40741.83</v>
      </c>
      <c r="D11" s="1" t="n">
        <v>52031.29</v>
      </c>
    </row>
    <row r="12">
      <c r="A12" t="inlineStr">
        <is>
          <t>May 2022</t>
        </is>
      </c>
      <c r="B12" s="1" t="n">
        <v>23414.57</v>
      </c>
      <c r="C12" s="1" t="n">
        <v>49601.36</v>
      </c>
      <c r="D12" s="1" t="n">
        <v>78218.08</v>
      </c>
    </row>
    <row r="13">
      <c r="A13" t="inlineStr">
        <is>
          <t>June 2022</t>
        </is>
      </c>
      <c r="B13" s="1" t="n">
        <v>16435.54</v>
      </c>
      <c r="C13" s="1" t="n">
        <v>31748.52</v>
      </c>
      <c r="D13" s="1" t="n">
        <v>93531.06</v>
      </c>
    </row>
    <row r="14">
      <c r="A14" t="inlineStr">
        <is>
          <t>July 2023</t>
        </is>
      </c>
      <c r="B14" s="1" t="n">
        <v>11124.45</v>
      </c>
      <c r="C14" s="1" t="n">
        <v>100</v>
      </c>
      <c r="D14" s="1" t="n">
        <v>82506.61</v>
      </c>
    </row>
    <row r="15">
      <c r="A15" t="inlineStr">
        <is>
          <t>August 2023</t>
        </is>
      </c>
      <c r="B15" s="1" t="n">
        <v>22437.52</v>
      </c>
      <c r="C15" s="1" t="n">
        <v>10292.9</v>
      </c>
      <c r="D15" s="1" t="n">
        <v>70361.99000000001</v>
      </c>
    </row>
    <row r="16">
      <c r="A16" t="inlineStr">
        <is>
          <t>September 2023</t>
        </is>
      </c>
      <c r="B16" s="1" t="n">
        <v>31119.65</v>
      </c>
      <c r="C16" s="1" t="n">
        <v>8415.75</v>
      </c>
      <c r="D16" s="1" t="n">
        <v>47658.09</v>
      </c>
    </row>
    <row r="17">
      <c r="A17" t="inlineStr">
        <is>
          <t>October 2023</t>
        </is>
      </c>
      <c r="B17" s="1" t="n">
        <v>27594.12</v>
      </c>
      <c r="C17" s="1" t="n">
        <v>10226.49</v>
      </c>
      <c r="D17" s="1" t="n">
        <v>30290.46</v>
      </c>
    </row>
    <row r="18">
      <c r="A18" t="inlineStr">
        <is>
          <t>November 2023</t>
        </is>
      </c>
      <c r="B18" s="1" t="n">
        <v>30096.95</v>
      </c>
      <c r="C18" s="1" t="n">
        <v>40027.23</v>
      </c>
      <c r="D18" s="1" t="n">
        <v>40220.74</v>
      </c>
    </row>
    <row r="19">
      <c r="A19" t="inlineStr">
        <is>
          <t>December 2023</t>
        </is>
      </c>
      <c r="B19" s="1" t="n">
        <v>23945.97</v>
      </c>
      <c r="C19" s="1" t="n">
        <v>20002.04</v>
      </c>
      <c r="D19" s="1" t="n">
        <v>36276.81</v>
      </c>
    </row>
    <row r="20">
      <c r="A20" t="inlineStr">
        <is>
          <t>January 2023</t>
        </is>
      </c>
      <c r="B20" s="1" t="n">
        <v>24025.03</v>
      </c>
      <c r="C20" s="1" t="n">
        <v>11482.05</v>
      </c>
      <c r="D20" s="1" t="n">
        <v>23733.83</v>
      </c>
    </row>
    <row r="21">
      <c r="A21" t="inlineStr">
        <is>
          <t>February 2023</t>
        </is>
      </c>
      <c r="B21" s="1" t="n">
        <v>25383.6</v>
      </c>
      <c r="C21" s="1" t="n">
        <v>34019.77</v>
      </c>
      <c r="D21" s="1" t="n">
        <v>32370</v>
      </c>
    </row>
    <row r="22">
      <c r="A22" t="inlineStr">
        <is>
          <t>March 2023</t>
        </is>
      </c>
      <c r="B22" s="1" t="n">
        <v>31674.52</v>
      </c>
      <c r="C22" s="1" t="n">
        <v>26973.71</v>
      </c>
      <c r="D22" s="1" t="n">
        <v>27669.19</v>
      </c>
    </row>
    <row r="23">
      <c r="A23" t="inlineStr">
        <is>
          <t>April 2023</t>
        </is>
      </c>
      <c r="B23" s="1" t="n">
        <v>24920.76</v>
      </c>
      <c r="C23" s="1" t="n">
        <v>48179.27</v>
      </c>
      <c r="D23" s="1" t="n">
        <v>50927.7</v>
      </c>
    </row>
    <row r="24">
      <c r="A24" t="inlineStr">
        <is>
          <t>May 2023</t>
        </is>
      </c>
      <c r="B24" s="1" t="n">
        <v>21223.37</v>
      </c>
      <c r="C24" s="1" t="n">
        <v>22783.79</v>
      </c>
      <c r="D24" s="1" t="n">
        <v>52488.12</v>
      </c>
    </row>
    <row r="25">
      <c r="A25" t="inlineStr">
        <is>
          <t>June 2023</t>
        </is>
      </c>
      <c r="B25" s="1" t="n">
        <v>13377.68</v>
      </c>
      <c r="C25" s="1" t="n">
        <v>13184.21</v>
      </c>
      <c r="D25" s="1" t="n">
        <v>52294.65</v>
      </c>
    </row>
    <row r="26">
      <c r="A26" t="inlineStr">
        <is>
          <t>July 2024</t>
        </is>
      </c>
      <c r="B26" s="1" t="n">
        <v>10702.06</v>
      </c>
      <c r="C26" s="1" t="n">
        <v>0</v>
      </c>
      <c r="D26" s="1" t="n">
        <v>41592.59</v>
      </c>
    </row>
    <row r="27">
      <c r="A27" t="inlineStr">
        <is>
          <t>August 2024</t>
        </is>
      </c>
      <c r="B27" s="1" t="n">
        <v>23576.23</v>
      </c>
      <c r="C27" s="1" t="n">
        <v>12234.5</v>
      </c>
      <c r="D27" s="1" t="n">
        <v>30250.86</v>
      </c>
    </row>
    <row r="28">
      <c r="A28" t="inlineStr">
        <is>
          <t>September 2024</t>
        </is>
      </c>
      <c r="B28" s="1" t="n">
        <v>29861.09</v>
      </c>
      <c r="C28" s="1" t="n">
        <v>9928.870000000001</v>
      </c>
      <c r="D28" s="1" t="n">
        <v>10318.64</v>
      </c>
    </row>
    <row r="29">
      <c r="A29" t="inlineStr">
        <is>
          <t>October 2024</t>
        </is>
      </c>
      <c r="B29" s="1" t="n">
        <v>25700.67</v>
      </c>
      <c r="C29" s="1" t="n">
        <v>15382.03</v>
      </c>
      <c r="D29" s="1" t="n">
        <v>0</v>
      </c>
    </row>
    <row r="30">
      <c r="A30" t="inlineStr">
        <is>
          <t>November 2024</t>
        </is>
      </c>
      <c r="B30" s="1" t="n">
        <v>22693.79</v>
      </c>
      <c r="C30" s="1" t="n">
        <v>22738.73</v>
      </c>
      <c r="D30" s="1" t="n">
        <v>44.94</v>
      </c>
    </row>
    <row r="31">
      <c r="A31" t="inlineStr">
        <is>
          <t>December 2024</t>
        </is>
      </c>
      <c r="B31" s="1" t="n">
        <v>23776.39</v>
      </c>
      <c r="C31" s="1" t="n">
        <v>54616.5</v>
      </c>
      <c r="D31" s="1" t="n">
        <v>30885.05</v>
      </c>
    </row>
    <row r="32">
      <c r="A32" t="inlineStr">
        <is>
          <t>January 2024</t>
        </is>
      </c>
      <c r="B32" s="1" t="n">
        <v>23675.49</v>
      </c>
      <c r="C32" s="1" t="n">
        <v>20525.07</v>
      </c>
      <c r="D32" s="1" t="n">
        <v>27734.63</v>
      </c>
    </row>
    <row r="33">
      <c r="A33" t="inlineStr">
        <is>
          <t>February 2024</t>
        </is>
      </c>
      <c r="B33" s="1" t="n">
        <v>30490.76</v>
      </c>
      <c r="C33" s="1" t="n">
        <v>23343.18</v>
      </c>
      <c r="D33" s="1" t="n">
        <v>20587.05</v>
      </c>
    </row>
    <row r="34">
      <c r="A34" t="inlineStr">
        <is>
          <t>March 2024</t>
        </is>
      </c>
      <c r="B34" s="1" t="n">
        <v>33146.51</v>
      </c>
      <c r="C34" s="1" t="n">
        <v>46756.55</v>
      </c>
      <c r="D34" s="1" t="n">
        <v>34197.09</v>
      </c>
    </row>
    <row r="35">
      <c r="A35" t="inlineStr">
        <is>
          <t>April 2024</t>
        </is>
      </c>
      <c r="B35" s="1" t="n">
        <v>24127.74</v>
      </c>
      <c r="C35" s="1" t="n">
        <v>24540.77</v>
      </c>
      <c r="D35" s="1" t="n">
        <v>34610.12</v>
      </c>
    </row>
    <row r="36">
      <c r="A36" t="inlineStr">
        <is>
          <t>May 2024</t>
        </is>
      </c>
      <c r="B36" s="1" t="n">
        <v>24345.02</v>
      </c>
      <c r="C36" s="1" t="n">
        <v>23676.8</v>
      </c>
      <c r="D36" s="1" t="n">
        <v>33941.9</v>
      </c>
    </row>
    <row r="37">
      <c r="A37" t="inlineStr">
        <is>
          <t>June 2024</t>
        </is>
      </c>
      <c r="B37" s="1" t="n">
        <v>14461.31</v>
      </c>
      <c r="C37" s="1" t="n">
        <v>13973.78</v>
      </c>
      <c r="D37" s="1" t="n">
        <v>33454.37</v>
      </c>
    </row>
    <row r="38">
      <c r="A38" t="inlineStr">
        <is>
          <t>July 2025</t>
        </is>
      </c>
      <c r="B38" s="1" t="n">
        <v>8729.26</v>
      </c>
      <c r="C38" s="1" t="n">
        <v>33.55</v>
      </c>
      <c r="D38" s="1" t="n">
        <v>24758.66</v>
      </c>
    </row>
    <row r="39">
      <c r="A39" t="inlineStr">
        <is>
          <t>August 2025</t>
        </is>
      </c>
      <c r="B39" s="1" t="n">
        <v>26403.45</v>
      </c>
      <c r="C39" s="1" t="n">
        <v>11818.05</v>
      </c>
      <c r="D39" s="1" t="n">
        <v>10173.26</v>
      </c>
    </row>
    <row r="40">
      <c r="A40" t="inlineStr">
        <is>
          <t>September 2025</t>
        </is>
      </c>
      <c r="B40" s="1" t="n">
        <v>23658.08</v>
      </c>
      <c r="C40" s="1" t="n">
        <v>28900.2</v>
      </c>
      <c r="D40" s="1" t="n">
        <v>15415.38</v>
      </c>
    </row>
    <row r="41">
      <c r="A41" t="inlineStr">
        <is>
          <t>October 2025</t>
        </is>
      </c>
      <c r="B41" s="1" t="n">
        <v>30326.98</v>
      </c>
      <c r="C41" s="1" t="n">
        <v>18521.41</v>
      </c>
      <c r="D41" s="1" t="n">
        <v>3609.81</v>
      </c>
    </row>
    <row r="42">
      <c r="A42" t="inlineStr">
        <is>
          <t>November 2025</t>
        </is>
      </c>
      <c r="B42" s="1" t="n">
        <v>22207.56</v>
      </c>
      <c r="C42" s="1" t="n">
        <v>25568.99</v>
      </c>
      <c r="D42" s="1" t="n">
        <v>6971.24</v>
      </c>
    </row>
    <row r="43">
      <c r="A43" t="inlineStr">
        <is>
          <t>December 2025</t>
        </is>
      </c>
      <c r="B43" s="1" t="n">
        <v>23674.63</v>
      </c>
      <c r="C43" s="1" t="n">
        <v>35739.48</v>
      </c>
      <c r="D43" s="1" t="n">
        <v>19036.09</v>
      </c>
    </row>
    <row r="44">
      <c r="A44" t="inlineStr">
        <is>
          <t>January 2025</t>
        </is>
      </c>
      <c r="B44" s="1" t="n">
        <v>34865.25</v>
      </c>
      <c r="C44" s="1" t="n">
        <v>19559.77</v>
      </c>
      <c r="D44" s="1" t="n">
        <v>3730.61</v>
      </c>
    </row>
    <row r="45">
      <c r="A45" t="inlineStr">
        <is>
          <t>February 2025</t>
        </is>
      </c>
      <c r="B45" s="1" t="n">
        <v>21282.56</v>
      </c>
      <c r="C45" s="1" t="n">
        <v>29211.6</v>
      </c>
      <c r="D45" s="1" t="n">
        <v>11659.65</v>
      </c>
    </row>
    <row r="46">
      <c r="A46" t="inlineStr">
        <is>
          <t>March 2025</t>
        </is>
      </c>
      <c r="B46" s="1" t="n">
        <v>32511.45</v>
      </c>
      <c r="C46" s="1" t="n">
        <v>34397.33</v>
      </c>
      <c r="D46" s="1" t="n">
        <v>13545.53</v>
      </c>
    </row>
    <row r="47">
      <c r="A47" t="inlineStr">
        <is>
          <t>April 2025</t>
        </is>
      </c>
      <c r="B47" s="1" t="n">
        <v>35730.91</v>
      </c>
      <c r="C47" s="1" t="n">
        <v>30513.9</v>
      </c>
      <c r="D47" s="1" t="n">
        <v>8328.52</v>
      </c>
    </row>
    <row r="48">
      <c r="A48" t="inlineStr">
        <is>
          <t>May 2025</t>
        </is>
      </c>
      <c r="B48" s="1" t="n">
        <v>0</v>
      </c>
      <c r="C48" s="1" t="n">
        <v>0</v>
      </c>
      <c r="D48" s="1" t="n">
        <v>8328.52</v>
      </c>
    </row>
    <row r="49">
      <c r="A49" t="inlineStr">
        <is>
          <t>June 2025</t>
        </is>
      </c>
      <c r="B49" s="1" t="n">
        <v>0</v>
      </c>
      <c r="C49" s="1" t="n">
        <v>0</v>
      </c>
      <c r="D49" s="1" t="n">
        <v>8328.52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5.6" customWidth="1" min="1" max="1"/>
    <col width="12" customWidth="1" min="2" max="2"/>
    <col width="12" customWidth="1" min="3" max="3"/>
    <col width="13.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B1" t="inlineStr">
        <is>
          <t>July</t>
        </is>
      </c>
      <c r="C1" t="inlineStr">
        <is>
          <t>August</t>
        </is>
      </c>
      <c r="D1" t="inlineStr">
        <is>
          <t>September</t>
        </is>
      </c>
      <c r="E1" t="inlineStr">
        <is>
          <t>October</t>
        </is>
      </c>
      <c r="F1" t="inlineStr">
        <is>
          <t>November</t>
        </is>
      </c>
      <c r="G1" t="inlineStr">
        <is>
          <t>December</t>
        </is>
      </c>
      <c r="H1" t="inlineStr">
        <is>
          <t>January</t>
        </is>
      </c>
      <c r="I1" t="inlineStr">
        <is>
          <t>February</t>
        </is>
      </c>
      <c r="J1" t="inlineStr">
        <is>
          <t>March</t>
        </is>
      </c>
      <c r="K1" t="inlineStr">
        <is>
          <t>April</t>
        </is>
      </c>
      <c r="L1" t="inlineStr">
        <is>
          <t>May</t>
        </is>
      </c>
      <c r="M1" t="inlineStr">
        <is>
          <t>June</t>
        </is>
      </c>
    </row>
    <row r="2">
      <c r="A2" t="inlineStr">
        <is>
          <t>Fiscal-Year</t>
        </is>
      </c>
    </row>
    <row r="3">
      <c r="A3" t="n">
        <v>2022</v>
      </c>
      <c r="B3" s="1" t="n">
        <v>16004.93</v>
      </c>
      <c r="C3" s="1" t="n">
        <v>2465.86</v>
      </c>
      <c r="D3" s="1" t="n">
        <v>19292.98</v>
      </c>
      <c r="E3" s="1" t="n">
        <v>48422.67</v>
      </c>
      <c r="F3" s="1" t="n">
        <v>30579.76</v>
      </c>
      <c r="G3" s="1" t="n">
        <v>26172.07</v>
      </c>
      <c r="H3" s="1" t="n">
        <v>26118.26</v>
      </c>
      <c r="I3" s="1" t="n">
        <v>35795.45</v>
      </c>
      <c r="J3" s="1" t="n">
        <v>29046.94</v>
      </c>
      <c r="K3" s="1" t="n">
        <v>40741.83</v>
      </c>
      <c r="L3" s="1" t="n">
        <v>49601.36</v>
      </c>
      <c r="M3" s="1" t="n">
        <v>31748.52</v>
      </c>
    </row>
    <row r="4">
      <c r="A4" t="n">
        <v>2023</v>
      </c>
      <c r="B4" s="1" t="n">
        <v>100</v>
      </c>
      <c r="C4" s="1" t="n">
        <v>10292.9</v>
      </c>
      <c r="D4" s="1" t="n">
        <v>8415.75</v>
      </c>
      <c r="E4" s="1" t="n">
        <v>10226.49</v>
      </c>
      <c r="F4" s="1" t="n">
        <v>40027.23</v>
      </c>
      <c r="G4" s="1" t="n">
        <v>20002.04</v>
      </c>
      <c r="H4" s="1" t="n">
        <v>11482.05</v>
      </c>
      <c r="I4" s="1" t="n">
        <v>34019.77</v>
      </c>
      <c r="J4" s="1" t="n">
        <v>26973.71</v>
      </c>
      <c r="K4" s="1" t="n">
        <v>48179.27</v>
      </c>
      <c r="L4" s="1" t="n">
        <v>22783.79</v>
      </c>
      <c r="M4" s="1" t="n">
        <v>13184.21</v>
      </c>
    </row>
    <row r="5">
      <c r="A5" t="n">
        <v>2024</v>
      </c>
      <c r="B5" s="1" t="n">
        <v>0</v>
      </c>
      <c r="C5" s="1" t="n">
        <v>12234.5</v>
      </c>
      <c r="D5" s="1" t="n">
        <v>9928.870000000001</v>
      </c>
      <c r="E5" s="1" t="n">
        <v>15382.03</v>
      </c>
      <c r="F5" s="1" t="n">
        <v>22738.73</v>
      </c>
      <c r="G5" s="1" t="n">
        <v>54616.5</v>
      </c>
      <c r="H5" s="1" t="n">
        <v>20525.07</v>
      </c>
      <c r="I5" s="1" t="n">
        <v>23343.18</v>
      </c>
      <c r="J5" s="1" t="n">
        <v>46756.55</v>
      </c>
      <c r="K5" s="1" t="n">
        <v>24540.77</v>
      </c>
      <c r="L5" s="1" t="n">
        <v>23676.8</v>
      </c>
      <c r="M5" s="1" t="n">
        <v>13973.78</v>
      </c>
    </row>
    <row r="6">
      <c r="A6" t="n">
        <v>2025</v>
      </c>
      <c r="B6" s="1" t="n">
        <v>33.55</v>
      </c>
      <c r="C6" s="1" t="n">
        <v>11818.05</v>
      </c>
      <c r="D6" s="1" t="n">
        <v>28900.2</v>
      </c>
      <c r="E6" s="1" t="n">
        <v>18521.41</v>
      </c>
      <c r="F6" s="1" t="n">
        <v>25568.99</v>
      </c>
      <c r="G6" s="1" t="n">
        <v>35739.48</v>
      </c>
      <c r="H6" s="1" t="n">
        <v>19559.77</v>
      </c>
      <c r="I6" s="1" t="n">
        <v>29211.6</v>
      </c>
      <c r="J6" s="1" t="n">
        <v>34397.33</v>
      </c>
      <c r="K6" s="1" t="n">
        <v>30513.9</v>
      </c>
      <c r="L6" s="1" t="n">
        <v>0</v>
      </c>
      <c r="M6" s="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5.6" customWidth="1" min="1" max="1"/>
    <col width="12" customWidth="1" min="2" max="2"/>
    <col width="12" customWidth="1" min="3" max="3"/>
    <col width="13.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B1" t="inlineStr">
        <is>
          <t>July</t>
        </is>
      </c>
      <c r="C1" t="inlineStr">
        <is>
          <t>August</t>
        </is>
      </c>
      <c r="D1" t="inlineStr">
        <is>
          <t>September</t>
        </is>
      </c>
      <c r="E1" t="inlineStr">
        <is>
          <t>October</t>
        </is>
      </c>
      <c r="F1" t="inlineStr">
        <is>
          <t>November</t>
        </is>
      </c>
      <c r="G1" t="inlineStr">
        <is>
          <t>December</t>
        </is>
      </c>
      <c r="H1" t="inlineStr">
        <is>
          <t>January</t>
        </is>
      </c>
      <c r="I1" t="inlineStr">
        <is>
          <t>February</t>
        </is>
      </c>
      <c r="J1" t="inlineStr">
        <is>
          <t>March</t>
        </is>
      </c>
      <c r="K1" t="inlineStr">
        <is>
          <t>April</t>
        </is>
      </c>
      <c r="L1" t="inlineStr">
        <is>
          <t>May</t>
        </is>
      </c>
      <c r="M1" t="inlineStr">
        <is>
          <t>June</t>
        </is>
      </c>
    </row>
    <row r="2">
      <c r="A2" t="inlineStr">
        <is>
          <t>Fiscal-Year</t>
        </is>
      </c>
    </row>
    <row r="3">
      <c r="A3" t="n">
        <v>2022</v>
      </c>
      <c r="B3" s="1" t="n">
        <v>10198.92</v>
      </c>
      <c r="C3" s="1" t="n">
        <v>13876.05</v>
      </c>
      <c r="D3" s="1" t="n">
        <v>21455.39</v>
      </c>
      <c r="E3" s="1" t="n">
        <v>35099.73</v>
      </c>
      <c r="F3" s="1" t="n">
        <v>24879.62</v>
      </c>
      <c r="G3" s="1" t="n">
        <v>22907.86</v>
      </c>
      <c r="H3" s="1" t="n">
        <v>26926.97</v>
      </c>
      <c r="I3" s="1" t="n">
        <v>24797.43</v>
      </c>
      <c r="J3" s="1" t="n">
        <v>25277.95</v>
      </c>
      <c r="K3" s="1" t="n">
        <v>25914.32</v>
      </c>
      <c r="L3" s="1" t="n">
        <v>23414.57</v>
      </c>
      <c r="M3" s="1" t="n">
        <v>16435.54</v>
      </c>
    </row>
    <row r="4">
      <c r="A4" t="n">
        <v>2023</v>
      </c>
      <c r="B4" s="1" t="n">
        <v>11124.45</v>
      </c>
      <c r="C4" s="1" t="n">
        <v>22437.52</v>
      </c>
      <c r="D4" s="1" t="n">
        <v>31119.65</v>
      </c>
      <c r="E4" s="1" t="n">
        <v>27594.12</v>
      </c>
      <c r="F4" s="1" t="n">
        <v>30096.95</v>
      </c>
      <c r="G4" s="1" t="n">
        <v>23945.97</v>
      </c>
      <c r="H4" s="1" t="n">
        <v>24025.03</v>
      </c>
      <c r="I4" s="1" t="n">
        <v>25383.6</v>
      </c>
      <c r="J4" s="1" t="n">
        <v>31674.52</v>
      </c>
      <c r="K4" s="1" t="n">
        <v>24920.76</v>
      </c>
      <c r="L4" s="1" t="n">
        <v>21223.37</v>
      </c>
      <c r="M4" s="1" t="n">
        <v>13377.68</v>
      </c>
    </row>
    <row r="5">
      <c r="A5" t="n">
        <v>2024</v>
      </c>
      <c r="B5" s="1" t="n">
        <v>10702.06</v>
      </c>
      <c r="C5" s="1" t="n">
        <v>23576.23</v>
      </c>
      <c r="D5" s="1" t="n">
        <v>29861.09</v>
      </c>
      <c r="E5" s="1" t="n">
        <v>25700.67</v>
      </c>
      <c r="F5" s="1" t="n">
        <v>22693.79</v>
      </c>
      <c r="G5" s="1" t="n">
        <v>23776.39</v>
      </c>
      <c r="H5" s="1" t="n">
        <v>23675.49</v>
      </c>
      <c r="I5" s="1" t="n">
        <v>30490.76</v>
      </c>
      <c r="J5" s="1" t="n">
        <v>33146.51</v>
      </c>
      <c r="K5" s="1" t="n">
        <v>24127.74</v>
      </c>
      <c r="L5" s="1" t="n">
        <v>24345.02</v>
      </c>
      <c r="M5" s="1" t="n">
        <v>14461.31</v>
      </c>
    </row>
    <row r="6">
      <c r="A6" t="n">
        <v>2025</v>
      </c>
      <c r="B6" s="1" t="n">
        <v>8729.26</v>
      </c>
      <c r="C6" s="1" t="n">
        <v>26403.45</v>
      </c>
      <c r="D6" s="1" t="n">
        <v>23658.08</v>
      </c>
      <c r="E6" s="1" t="n">
        <v>30326.98</v>
      </c>
      <c r="F6" s="1" t="n">
        <v>22207.56</v>
      </c>
      <c r="G6" s="1" t="n">
        <v>23674.63</v>
      </c>
      <c r="H6" s="1" t="n">
        <v>34865.25</v>
      </c>
      <c r="I6" s="1" t="n">
        <v>21282.56</v>
      </c>
      <c r="J6" s="1" t="n">
        <v>32511.45</v>
      </c>
      <c r="K6" s="1" t="n">
        <v>35730.91</v>
      </c>
      <c r="L6" s="1" t="n">
        <v>0</v>
      </c>
      <c r="M6" s="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5.6" customWidth="1" min="1" max="1"/>
    <col width="12" customWidth="1" min="2" max="2"/>
    <col width="12" customWidth="1" min="3" max="3"/>
    <col width="13.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B1" t="inlineStr">
        <is>
          <t>July</t>
        </is>
      </c>
      <c r="C1" t="inlineStr">
        <is>
          <t>August</t>
        </is>
      </c>
      <c r="D1" t="inlineStr">
        <is>
          <t>September</t>
        </is>
      </c>
      <c r="E1" t="inlineStr">
        <is>
          <t>October</t>
        </is>
      </c>
      <c r="F1" t="inlineStr">
        <is>
          <t>November</t>
        </is>
      </c>
      <c r="G1" t="inlineStr">
        <is>
          <t>December</t>
        </is>
      </c>
      <c r="H1" t="inlineStr">
        <is>
          <t>January</t>
        </is>
      </c>
      <c r="I1" t="inlineStr">
        <is>
          <t>February</t>
        </is>
      </c>
      <c r="J1" t="inlineStr">
        <is>
          <t>March</t>
        </is>
      </c>
      <c r="K1" t="inlineStr">
        <is>
          <t>April</t>
        </is>
      </c>
      <c r="L1" t="inlineStr">
        <is>
          <t>May</t>
        </is>
      </c>
      <c r="M1" t="inlineStr">
        <is>
          <t>June</t>
        </is>
      </c>
    </row>
    <row r="2">
      <c r="A2" t="inlineStr">
        <is>
          <t>Fiscal-Year</t>
        </is>
      </c>
    </row>
    <row r="3">
      <c r="A3" t="n">
        <v>2022</v>
      </c>
      <c r="B3" s="1" t="n">
        <v>14530.79</v>
      </c>
      <c r="C3" s="1" t="n">
        <v>3120.6</v>
      </c>
      <c r="D3" s="1" t="n">
        <v>958.1900000000001</v>
      </c>
      <c r="E3" s="1" t="n">
        <v>14281.13</v>
      </c>
      <c r="F3" s="1" t="n">
        <v>19981.27</v>
      </c>
      <c r="G3" s="1" t="n">
        <v>23245.48</v>
      </c>
      <c r="H3" s="1" t="n">
        <v>22436.77</v>
      </c>
      <c r="I3" s="1" t="n">
        <v>33434.79</v>
      </c>
      <c r="J3" s="1" t="n">
        <v>37203.78</v>
      </c>
      <c r="K3" s="1" t="n">
        <v>52031.29</v>
      </c>
      <c r="L3" s="1" t="n">
        <v>78218.08</v>
      </c>
      <c r="M3" s="1" t="n">
        <v>93531.06</v>
      </c>
    </row>
    <row r="4">
      <c r="A4" t="n">
        <v>2023</v>
      </c>
      <c r="B4" s="1" t="n">
        <v>82506.61</v>
      </c>
      <c r="C4" s="1" t="n">
        <v>70361.99000000001</v>
      </c>
      <c r="D4" s="1" t="n">
        <v>47658.09</v>
      </c>
      <c r="E4" s="1" t="n">
        <v>30290.46</v>
      </c>
      <c r="F4" s="1" t="n">
        <v>40220.74</v>
      </c>
      <c r="G4" s="1" t="n">
        <v>36276.81</v>
      </c>
      <c r="H4" s="1" t="n">
        <v>23733.83</v>
      </c>
      <c r="I4" s="1" t="n">
        <v>32370</v>
      </c>
      <c r="J4" s="1" t="n">
        <v>27669.19</v>
      </c>
      <c r="K4" s="1" t="n">
        <v>50927.7</v>
      </c>
      <c r="L4" s="1" t="n">
        <v>52488.12</v>
      </c>
      <c r="M4" s="1" t="n">
        <v>52294.65</v>
      </c>
    </row>
    <row r="5">
      <c r="A5" t="n">
        <v>2024</v>
      </c>
      <c r="B5" s="1" t="n">
        <v>41592.59</v>
      </c>
      <c r="C5" s="1" t="n">
        <v>30250.86</v>
      </c>
      <c r="D5" s="1" t="n">
        <v>10318.64</v>
      </c>
      <c r="E5" s="1" t="n">
        <v>0</v>
      </c>
      <c r="F5" s="1" t="n">
        <v>44.94</v>
      </c>
      <c r="G5" s="1" t="n">
        <v>30885.05</v>
      </c>
      <c r="H5" s="1" t="n">
        <v>27734.63</v>
      </c>
      <c r="I5" s="1" t="n">
        <v>20587.05</v>
      </c>
      <c r="J5" s="1" t="n">
        <v>34197.09</v>
      </c>
      <c r="K5" s="1" t="n">
        <v>34610.12</v>
      </c>
      <c r="L5" s="1" t="n">
        <v>33941.9</v>
      </c>
      <c r="M5" s="1" t="n">
        <v>33454.37</v>
      </c>
    </row>
    <row r="6">
      <c r="A6" t="n">
        <v>2025</v>
      </c>
      <c r="B6" s="1" t="n">
        <v>24758.66</v>
      </c>
      <c r="C6" s="1" t="n">
        <v>10173.26</v>
      </c>
      <c r="D6" s="1" t="n">
        <v>15415.38</v>
      </c>
      <c r="E6" s="1" t="n">
        <v>3609.81</v>
      </c>
      <c r="F6" s="1" t="n">
        <v>6971.24</v>
      </c>
      <c r="G6" s="1" t="n">
        <v>19036.09</v>
      </c>
      <c r="H6" s="1" t="n">
        <v>3730.61</v>
      </c>
      <c r="I6" s="1" t="n">
        <v>11659.65</v>
      </c>
      <c r="J6" s="1" t="n">
        <v>13545.53</v>
      </c>
      <c r="K6" s="1" t="n">
        <v>8328.52</v>
      </c>
      <c r="L6" s="1" t="n">
        <v>8328.52</v>
      </c>
      <c r="M6" s="1" t="n">
        <v>8328.52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2026-03-21T18:38:45Z</dcterms:created>
  <dcterms:modified xsi:type="dcterms:W3CDTF">2026-03-21T18:38:47Z</dcterms:modified>
</cp:coreProperties>
</file>